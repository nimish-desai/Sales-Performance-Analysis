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972c653e7bf421/Documents/Sales-performance-analysis/"/>
    </mc:Choice>
  </mc:AlternateContent>
  <xr:revisionPtr revIDLastSave="185" documentId="8_{D5C92583-D70E-48D8-A962-C6A2471AEF67}" xr6:coauthVersionLast="47" xr6:coauthVersionMax="47" xr10:uidLastSave="{BC5CF9E0-1884-4704-A964-C6683F7E3C3A}"/>
  <bookViews>
    <workbookView xWindow="-108" yWindow="-108" windowWidth="23256" windowHeight="12456" xr2:uid="{A35E11B4-D182-4DA2-AF1B-96F77868A66B}"/>
  </bookViews>
  <sheets>
    <sheet name="Dashboard" sheetId="6" r:id="rId1"/>
    <sheet name="Business_Insights" sheetId="5" r:id="rId2"/>
    <sheet name="Product_Analysis" sheetId="4" r:id="rId3"/>
    <sheet name="City_Analysis" sheetId="3" r:id="rId4"/>
    <sheet name="KPI_Analysis" sheetId="2" r:id="rId5"/>
    <sheet name="Sales_Data" sheetId="1" r:id="rId6"/>
  </sheet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D4" i="6"/>
  <c r="A4" i="6"/>
  <c r="B4" i="2"/>
  <c r="B8" i="2"/>
  <c r="B7" i="2"/>
  <c r="B6" i="2"/>
  <c r="B5" i="2"/>
  <c r="B3" i="2"/>
  <c r="B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sharedStrings.xml><?xml version="1.0" encoding="utf-8"?>
<sst xmlns="http://schemas.openxmlformats.org/spreadsheetml/2006/main" count="232" uniqueCount="57">
  <si>
    <t>Order_ID</t>
  </si>
  <si>
    <t>Order_Date</t>
  </si>
  <si>
    <t>City</t>
  </si>
  <si>
    <t>Region</t>
  </si>
  <si>
    <t>Product</t>
  </si>
  <si>
    <t>Category</t>
  </si>
  <si>
    <t>Units_Sold</t>
  </si>
  <si>
    <t>Unit_Price_INR</t>
  </si>
  <si>
    <t>Discount_INR</t>
  </si>
  <si>
    <t>Sales_Channel</t>
  </si>
  <si>
    <t>Payment_Mode</t>
  </si>
  <si>
    <t>Mumbai</t>
  </si>
  <si>
    <t>West</t>
  </si>
  <si>
    <t>Laptop</t>
  </si>
  <si>
    <t>Electronics</t>
  </si>
  <si>
    <t>Online</t>
  </si>
  <si>
    <t>UPI</t>
  </si>
  <si>
    <t>Pune</t>
  </si>
  <si>
    <t>Mouse</t>
  </si>
  <si>
    <t>Accessories</t>
  </si>
  <si>
    <t>Store</t>
  </si>
  <si>
    <t>Cash</t>
  </si>
  <si>
    <t>Delhi</t>
  </si>
  <si>
    <t>North</t>
  </si>
  <si>
    <t>Monitor</t>
  </si>
  <si>
    <t>Credit Card</t>
  </si>
  <si>
    <t>Navi Mumbai</t>
  </si>
  <si>
    <t>Keyboard</t>
  </si>
  <si>
    <t>Bengaluru</t>
  </si>
  <si>
    <t>South</t>
  </si>
  <si>
    <t>Headphones</t>
  </si>
  <si>
    <t>Net Banking</t>
  </si>
  <si>
    <t>Net_Sales_INR</t>
  </si>
  <si>
    <t>Metric</t>
  </si>
  <si>
    <t>Result</t>
  </si>
  <si>
    <t>Total Net Sales</t>
  </si>
  <si>
    <t>Average Sales per order</t>
  </si>
  <si>
    <t>Total Orders</t>
  </si>
  <si>
    <t>Total Units Sold</t>
  </si>
  <si>
    <t>Online Net Sales</t>
  </si>
  <si>
    <t>Electronics Net Sales</t>
  </si>
  <si>
    <t xml:space="preserve">Mumbai Order Counts </t>
  </si>
  <si>
    <t>Row Labels</t>
  </si>
  <si>
    <t>Grand Total</t>
  </si>
  <si>
    <t>Sum of Net_Sales_INR</t>
  </si>
  <si>
    <t>SALES PERFORMANCE ANALYSIS — KEY FINDINGS</t>
  </si>
  <si>
    <t>Finding</t>
  </si>
  <si>
    <t>Observation</t>
  </si>
  <si>
    <t>Top-performing city</t>
  </si>
  <si>
    <t>Bengaluru generated ₹182,700 in net sales.</t>
  </si>
  <si>
    <t>Top-performing product</t>
  </si>
  <si>
    <t>Laptops generated ₹483,500 in net sales.</t>
  </si>
  <si>
    <t>Revenue concentration</t>
  </si>
  <si>
    <t>Laptops contributed approximately 73.8% of total net sales.</t>
  </si>
  <si>
    <t>Lowest-performing city</t>
  </si>
  <si>
    <t>Navi Mumbai generated ₹72,650 in net sales.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</si>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</sst>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.00"/>
    <numFmt numFmtId="169" formatCode="&quot;₹&quot;\ 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 Unicode MS"/>
    </font>
    <font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68" fontId="2" fillId="0" borderId="0" xfId="0" applyNumberFormat="1" applyFont="1"/>
    <xf numFmtId="0" fontId="4" fillId="2" borderId="0" xfId="0" applyFont="1" applyFill="1" applyAlignment="1">
      <alignment horizontal="center"/>
    </xf>
    <xf numFmtId="3" fontId="2" fillId="0" borderId="0" xfId="0" applyNumberFormat="1" applyFont="1"/>
    <xf numFmtId="3" fontId="3" fillId="0" borderId="0" xfId="0" applyNumberFormat="1" applyFont="1"/>
    <xf numFmtId="169" fontId="2" fillId="0" borderId="0" xfId="0" applyNumberFormat="1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[sales_analysis.xlsx]City_Analysis!PivotTable1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City_Analysis!$A$4:$A$9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Pune</c:v>
                </c:pt>
                <c:pt idx="3">
                  <c:v>Mumbai</c:v>
                </c:pt>
                <c:pt idx="4">
                  <c:v>Navi Mumbai</c:v>
                </c:pt>
              </c:strCache>
            </c:strRef>
          </c:cat>
          <c:val>
            <c:numRef>
              <c:f>City_Analysis!$B$4:$B$9</c:f>
              <c:numCache>
                <c:formatCode>General</c:formatCode>
                <c:ptCount val="5"/>
                <c:pt idx="0">
                  <c:v>182700</c:v>
                </c:pt>
                <c:pt idx="1">
                  <c:v>142300</c:v>
                </c:pt>
                <c:pt idx="2">
                  <c:v>132200</c:v>
                </c:pt>
                <c:pt idx="3">
                  <c:v>125550</c:v>
                </c:pt>
                <c:pt idx="4">
                  <c:v>72650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A-42B7-A482-9F4B3E251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107839"/>
        <c:axId val="456436335"/>
      </c:barChart>
      <c:catAx>
        <c:axId val="46110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36335"/>
        <c:crosses val="autoZero"/>
        <c:auto val="1"/>
        <c:lblAlgn val="ctr"/>
        <c:lblOffset val="100"/>
        <c:noMultiLvlLbl val="0"/>
      </c:catAx>
      <c:valAx>
        <c:axId val="4564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10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[sales_analysis.xlsx]Product_Analysis!PivotTable3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Sales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Product_Analysis!$A$4:$A$9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Headphones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Product_Analysis!$B$4:$B$9</c:f>
              <c:numCache>
                <c:formatCode>General</c:formatCode>
                <c:ptCount val="5"/>
                <c:pt idx="0">
                  <c:v>483500</c:v>
                </c:pt>
                <c:pt idx="1">
                  <c:v>98600</c:v>
                </c:pt>
                <c:pt idx="2">
                  <c:v>32200</c:v>
                </c:pt>
                <c:pt idx="3">
                  <c:v>28250</c:v>
                </c:pt>
                <c:pt idx="4">
                  <c:v>12850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B-4B08-98A6-961DA4978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210271"/>
        <c:axId val="456345615"/>
      </c:barChart>
      <c:catAx>
        <c:axId val="45021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45615"/>
        <c:crosses val="autoZero"/>
        <c:auto val="1"/>
        <c:lblAlgn val="ctr"/>
        <c:lblOffset val="100"/>
        <c:noMultiLvlLbl val="0"/>
      </c:catAx>
      <c:valAx>
        <c:axId val="45634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21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0</xdr:rowOff>
    </xdr:from>
    <xdr:to>
      <xdr:col>5</xdr:col>
      <xdr:colOff>251460</xdr:colOff>
      <xdr:row>20</xdr:row>
      <xdr:rowOff>0</xdr:rowOff>
    </xdr:to>
    <xdr:graphicFrame macro="">
      <xdr:nvGraphicFramePr>
        <xdr:cNvPr id="2" name="Net Sales By City">
          <a:extLst>
            <a:ext uri="{FF2B5EF4-FFF2-40B4-BE49-F238E27FC236}">
              <a16:creationId xmlns:a16="http://schemas.microsoft.com/office/drawing/2014/main" id="{6EE59CB3-D5C8-4DDD-80E6-EE250B891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0</xdr:rowOff>
    </xdr:from>
    <xdr:to>
      <xdr:col>12</xdr:col>
      <xdr:colOff>571500</xdr:colOff>
      <xdr:row>20</xdr:row>
      <xdr:rowOff>0</xdr:rowOff>
    </xdr:to>
    <xdr:graphicFrame macro="">
      <xdr:nvGraphicFramePr>
        <xdr:cNvPr id="3" name="Net Sales By Produc">
          <a:extLst>
            <a:ext uri="{FF2B5EF4-FFF2-40B4-BE49-F238E27FC236}">
              <a16:creationId xmlns:a16="http://schemas.microsoft.com/office/drawing/2014/main" id="{3B0AFC50-A5C5-41E1-8FE8-752223A33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ish Desai" refreshedDate="46324.878617824077" createdVersion="8" refreshedVersion="8" minRefreshableVersion="3" recordCount="30" xr:uid="{1A3875F1-F9F2-4B09-B9B3-56D3669DC854}">
  <cacheSource type="worksheet">
    <worksheetSource name="SalesTable"/>
  </cacheSource>
  <cacheFields count="12">
    <cacheField name="Order_ID" numFmtId="0">
      <sharedItems containsSemiMixedTypes="0" containsString="0" containsNumber="1" containsInteger="1" minValue="3001" maxValue="3030"/>
    </cacheField>
    <cacheField name="Order_Date" numFmtId="14">
      <sharedItems containsSemiMixedTypes="0" containsNonDate="0" containsDate="1" containsString="0" minDate="2026-01-03T00:00:00" maxDate="2026-02-21T00:00:00"/>
    </cacheField>
    <cacheField name="City" numFmtId="0">
      <sharedItems count="5">
        <s v="Mumbai"/>
        <s v="Pune"/>
        <s v="Delhi"/>
        <s v="Navi Mumbai"/>
        <s v="Bengaluru"/>
      </sharedItems>
    </cacheField>
    <cacheField name="Region" numFmtId="0">
      <sharedItems/>
    </cacheField>
    <cacheField name="Product" numFmtId="0">
      <sharedItems count="5">
        <s v="Laptop"/>
        <s v="Mouse"/>
        <s v="Monitor"/>
        <s v="Keyboard"/>
        <s v="Headphones"/>
      </sharedItems>
    </cacheField>
    <cacheField name="Category" numFmtId="0">
      <sharedItems/>
    </cacheField>
    <cacheField name="Units_Sold" numFmtId="0">
      <sharedItems containsSemiMixedTypes="0" containsString="0" containsNumber="1" containsInteger="1" minValue="1" maxValue="6"/>
    </cacheField>
    <cacheField name="Unit_Price_INR" numFmtId="0">
      <sharedItems containsSemiMixedTypes="0" containsString="0" containsNumber="1" containsInteger="1" minValue="500" maxValue="53000"/>
    </cacheField>
    <cacheField name="Discount_INR" numFmtId="0">
      <sharedItems containsSemiMixedTypes="0" containsString="0" containsNumber="1" containsInteger="1" minValue="0" maxValue="3000"/>
    </cacheField>
    <cacheField name="Sales_Channel" numFmtId="0">
      <sharedItems/>
    </cacheField>
    <cacheField name="Payment_Mode" numFmtId="0">
      <sharedItems/>
    </cacheField>
    <cacheField name="Net_Sales_INR" numFmtId="0">
      <sharedItems containsSemiMixedTypes="0" containsString="0" containsNumber="1" containsInteger="1" minValue="1800" maxValue="97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3001"/>
    <d v="2026-01-03T00:00:00"/>
    <x v="0"/>
    <s v="West"/>
    <x v="0"/>
    <s v="Electronics"/>
    <n v="1"/>
    <n v="48000"/>
    <n v="2000"/>
    <s v="Online"/>
    <s v="UPI"/>
    <n v="46000"/>
  </r>
  <r>
    <n v="3002"/>
    <d v="2026-01-04T00:00:00"/>
    <x v="1"/>
    <s v="West"/>
    <x v="1"/>
    <s v="Accessories"/>
    <n v="3"/>
    <n v="600"/>
    <n v="0"/>
    <s v="Store"/>
    <s v="Cash"/>
    <n v="1800"/>
  </r>
  <r>
    <n v="3003"/>
    <d v="2026-01-05T00:00:00"/>
    <x v="2"/>
    <s v="North"/>
    <x v="2"/>
    <s v="Electronics"/>
    <n v="2"/>
    <n v="11000"/>
    <n v="1000"/>
    <s v="Online"/>
    <s v="Credit Card"/>
    <n v="21000"/>
  </r>
  <r>
    <n v="3004"/>
    <d v="2026-01-06T00:00:00"/>
    <x v="3"/>
    <s v="West"/>
    <x v="3"/>
    <s v="Accessories"/>
    <n v="2"/>
    <n v="1600"/>
    <n v="200"/>
    <s v="Store"/>
    <s v="UPI"/>
    <n v="3000"/>
  </r>
  <r>
    <n v="3005"/>
    <d v="2026-01-08T00:00:00"/>
    <x v="4"/>
    <s v="South"/>
    <x v="4"/>
    <s v="Accessories"/>
    <n v="4"/>
    <n v="2000"/>
    <n v="500"/>
    <s v="Online"/>
    <s v="Credit Card"/>
    <n v="7500"/>
  </r>
  <r>
    <n v="3006"/>
    <d v="2026-01-09T00:00:00"/>
    <x v="0"/>
    <s v="West"/>
    <x v="2"/>
    <s v="Electronics"/>
    <n v="1"/>
    <n v="12000"/>
    <n v="500"/>
    <s v="Store"/>
    <s v="UPI"/>
    <n v="11500"/>
  </r>
  <r>
    <n v="3007"/>
    <d v="2026-01-10T00:00:00"/>
    <x v="2"/>
    <s v="North"/>
    <x v="0"/>
    <s v="Electronics"/>
    <n v="2"/>
    <n v="50000"/>
    <n v="3000"/>
    <s v="Online"/>
    <s v="Net Banking"/>
    <n v="97000"/>
  </r>
  <r>
    <n v="3008"/>
    <d v="2026-01-11T00:00:00"/>
    <x v="1"/>
    <s v="West"/>
    <x v="3"/>
    <s v="Accessories"/>
    <n v="3"/>
    <n v="1500"/>
    <n v="0"/>
    <s v="Online"/>
    <s v="UPI"/>
    <n v="4500"/>
  </r>
  <r>
    <n v="3009"/>
    <d v="2026-01-12T00:00:00"/>
    <x v="4"/>
    <s v="South"/>
    <x v="0"/>
    <s v="Electronics"/>
    <n v="1"/>
    <n v="52000"/>
    <n v="2500"/>
    <s v="Store"/>
    <s v="Credit Card"/>
    <n v="49500"/>
  </r>
  <r>
    <n v="3010"/>
    <d v="2026-01-14T00:00:00"/>
    <x v="3"/>
    <s v="West"/>
    <x v="1"/>
    <s v="Accessories"/>
    <n v="5"/>
    <n v="550"/>
    <n v="100"/>
    <s v="Online"/>
    <s v="UPI"/>
    <n v="2650"/>
  </r>
  <r>
    <n v="3011"/>
    <d v="2026-01-15T00:00:00"/>
    <x v="0"/>
    <s v="West"/>
    <x v="4"/>
    <s v="Accessories"/>
    <n v="2"/>
    <n v="2500"/>
    <n v="300"/>
    <s v="Online"/>
    <s v="Credit Card"/>
    <n v="4700"/>
  </r>
  <r>
    <n v="3012"/>
    <d v="2026-01-16T00:00:00"/>
    <x v="2"/>
    <s v="North"/>
    <x v="2"/>
    <s v="Electronics"/>
    <n v="1"/>
    <n v="11500"/>
    <n v="0"/>
    <s v="Store"/>
    <s v="Cash"/>
    <n v="11500"/>
  </r>
  <r>
    <n v="3013"/>
    <d v="2026-01-18T00:00:00"/>
    <x v="1"/>
    <s v="West"/>
    <x v="0"/>
    <s v="Electronics"/>
    <n v="1"/>
    <n v="49000"/>
    <n v="1500"/>
    <s v="Store"/>
    <s v="Net Banking"/>
    <n v="47500"/>
  </r>
  <r>
    <n v="3014"/>
    <d v="2026-01-19T00:00:00"/>
    <x v="4"/>
    <s v="South"/>
    <x v="3"/>
    <s v="Accessories"/>
    <n v="4"/>
    <n v="1700"/>
    <n v="200"/>
    <s v="Online"/>
    <s v="UPI"/>
    <n v="6600"/>
  </r>
  <r>
    <n v="3015"/>
    <d v="2026-01-20T00:00:00"/>
    <x v="0"/>
    <s v="West"/>
    <x v="1"/>
    <s v="Accessories"/>
    <n v="6"/>
    <n v="500"/>
    <n v="0"/>
    <s v="Store"/>
    <s v="Cash"/>
    <n v="3000"/>
  </r>
  <r>
    <n v="3016"/>
    <d v="2026-01-22T00:00:00"/>
    <x v="3"/>
    <s v="West"/>
    <x v="0"/>
    <s v="Electronics"/>
    <n v="1"/>
    <n v="51000"/>
    <n v="2000"/>
    <s v="Online"/>
    <s v="Credit Card"/>
    <n v="49000"/>
  </r>
  <r>
    <n v="3017"/>
    <d v="2026-01-23T00:00:00"/>
    <x v="2"/>
    <s v="North"/>
    <x v="4"/>
    <s v="Accessories"/>
    <n v="3"/>
    <n v="2200"/>
    <n v="200"/>
    <s v="Store"/>
    <s v="UPI"/>
    <n v="6400"/>
  </r>
  <r>
    <n v="3018"/>
    <d v="2026-01-24T00:00:00"/>
    <x v="1"/>
    <s v="West"/>
    <x v="2"/>
    <s v="Electronics"/>
    <n v="2"/>
    <n v="10800"/>
    <n v="600"/>
    <s v="Online"/>
    <s v="Credit Card"/>
    <n v="21000"/>
  </r>
  <r>
    <n v="3019"/>
    <d v="2026-01-25T00:00:00"/>
    <x v="4"/>
    <s v="South"/>
    <x v="1"/>
    <s v="Accessories"/>
    <n v="4"/>
    <n v="650"/>
    <n v="100"/>
    <s v="Store"/>
    <s v="UPI"/>
    <n v="2500"/>
  </r>
  <r>
    <n v="3020"/>
    <d v="2026-01-27T00:00:00"/>
    <x v="0"/>
    <s v="West"/>
    <x v="0"/>
    <s v="Electronics"/>
    <n v="1"/>
    <n v="50000"/>
    <n v="1000"/>
    <s v="Online"/>
    <s v="Net Banking"/>
    <n v="49000"/>
  </r>
  <r>
    <n v="3021"/>
    <d v="2026-02-01T00:00:00"/>
    <x v="2"/>
    <s v="North"/>
    <x v="3"/>
    <s v="Accessories"/>
    <n v="2"/>
    <n v="1800"/>
    <n v="100"/>
    <s v="Online"/>
    <s v="UPI"/>
    <n v="3500"/>
  </r>
  <r>
    <n v="3022"/>
    <d v="2026-02-03T00:00:00"/>
    <x v="1"/>
    <s v="West"/>
    <x v="4"/>
    <s v="Accessories"/>
    <n v="3"/>
    <n v="2400"/>
    <n v="300"/>
    <s v="Store"/>
    <s v="Credit Card"/>
    <n v="6900"/>
  </r>
  <r>
    <n v="3023"/>
    <d v="2026-02-05T00:00:00"/>
    <x v="3"/>
    <s v="West"/>
    <x v="2"/>
    <s v="Electronics"/>
    <n v="1"/>
    <n v="12000"/>
    <n v="0"/>
    <s v="Online"/>
    <s v="UPI"/>
    <n v="12000"/>
  </r>
  <r>
    <n v="3024"/>
    <d v="2026-02-07T00:00:00"/>
    <x v="4"/>
    <s v="South"/>
    <x v="0"/>
    <s v="Electronics"/>
    <n v="2"/>
    <n v="48500"/>
    <n v="2000"/>
    <s v="Online"/>
    <s v="Credit Card"/>
    <n v="95000"/>
  </r>
  <r>
    <n v="3025"/>
    <d v="2026-02-09T00:00:00"/>
    <x v="0"/>
    <s v="West"/>
    <x v="3"/>
    <s v="Accessories"/>
    <n v="3"/>
    <n v="1600"/>
    <n v="150"/>
    <s v="Store"/>
    <s v="UPI"/>
    <n v="4650"/>
  </r>
  <r>
    <n v="3026"/>
    <d v="2026-02-11T00:00:00"/>
    <x v="2"/>
    <s v="North"/>
    <x v="1"/>
    <s v="Accessories"/>
    <n v="5"/>
    <n v="600"/>
    <n v="100"/>
    <s v="Store"/>
    <s v="Cash"/>
    <n v="2900"/>
  </r>
  <r>
    <n v="3027"/>
    <d v="2026-02-13T00:00:00"/>
    <x v="1"/>
    <s v="West"/>
    <x v="0"/>
    <s v="Electronics"/>
    <n v="1"/>
    <n v="53000"/>
    <n v="2500"/>
    <s v="Online"/>
    <s v="Net Banking"/>
    <n v="50500"/>
  </r>
  <r>
    <n v="3028"/>
    <d v="2026-02-15T00:00:00"/>
    <x v="4"/>
    <s v="South"/>
    <x v="2"/>
    <s v="Electronics"/>
    <n v="2"/>
    <n v="11200"/>
    <n v="800"/>
    <s v="Store"/>
    <s v="Credit Card"/>
    <n v="21600"/>
  </r>
  <r>
    <n v="3029"/>
    <d v="2026-02-17T00:00:00"/>
    <x v="0"/>
    <s v="West"/>
    <x v="4"/>
    <s v="Accessories"/>
    <n v="3"/>
    <n v="2300"/>
    <n v="200"/>
    <s v="Online"/>
    <s v="UPI"/>
    <n v="6700"/>
  </r>
  <r>
    <n v="3030"/>
    <d v="2026-02-20T00:00:00"/>
    <x v="3"/>
    <s v="West"/>
    <x v="3"/>
    <s v="Accessories"/>
    <n v="4"/>
    <n v="1550"/>
    <n v="200"/>
    <s v="Store"/>
    <s v="Cash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0E514-7FCD-40FD-8819-ECDB79A3D58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showAll="0"/>
    <pivotField showAll="0"/>
    <pivotField axis="axisRow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Net_Sales_INR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1EB7A-6684-48E4-9A61-9FC36EE542F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numFmtId="14"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Sum of Net_Sales_INR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A414E-A680-438F-887D-6034D7726538}" name="SalesTable" displayName="SalesTable" ref="A1:L31" totalsRowShown="0">
  <autoFilter ref="A1:L31" xr:uid="{CF3A414E-A680-438F-887D-6034D7726538}"/>
  <tableColumns count="12">
    <tableColumn id="1" xr3:uid="{75DDCF4C-C02D-420A-870F-154B09E66EE0}" name="Order_ID"/>
    <tableColumn id="2" xr3:uid="{B25A3D56-3A3B-4F11-8CC2-0E097BCF1432}" name="Order_Date" dataDxfId="0"/>
    <tableColumn id="3" xr3:uid="{2BFBE956-B7A4-40FD-895B-A2D11A3DE106}" name="City"/>
    <tableColumn id="4" xr3:uid="{C9E3200D-8757-49AB-85D6-6BB176832601}" name="Region"/>
    <tableColumn id="5" xr3:uid="{DA3CE493-551F-4914-829A-E46E2960338C}" name="Product"/>
    <tableColumn id="6" xr3:uid="{65097339-EF63-4739-A759-DACD6954FCA1}" name="Category"/>
    <tableColumn id="7" xr3:uid="{6D864568-9327-4103-BE88-C9A7AC5AEBCB}" name="Units_Sold"/>
    <tableColumn id="8" xr3:uid="{49B87DC1-C3DA-4BC8-9EA3-CD2A53AC7C4E}" name="Unit_Price_INR"/>
    <tableColumn id="9" xr3:uid="{7D40974B-3C9E-4CED-ADE6-979B43366E91}" name="Discount_INR"/>
    <tableColumn id="10" xr3:uid="{A717897E-A47E-4277-B8F7-23721FB8EE11}" name="Sales_Channel"/>
    <tableColumn id="11" xr3:uid="{9C6338B7-E793-4A3F-9CEB-C419CA9BCB36}" name="Payment_Mode"/>
    <tableColumn id="12" xr3:uid="{4BF143CC-5A27-4A19-A1A8-2310E47422BD}" name="Net_Sales_INR">
      <calculatedColumnFormula>G2*H2-I2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0D44-8C7E-48C8-9FEC-C046F90020C6}">
  <dimension ref="A1:I4"/>
  <sheetViews>
    <sheetView tabSelected="1" workbookViewId="0">
      <selection activeCell="O4" sqref="O4"/>
    </sheetView>
  </sheetViews>
  <sheetFormatPr defaultRowHeight="14.4"/>
  <cols>
    <col min="1" max="1" width="25.77734375" bestFit="1" customWidth="1"/>
    <col min="4" max="4" width="11.109375" bestFit="1" customWidth="1"/>
    <col min="7" max="7" width="13.88671875" bestFit="1" customWidth="1"/>
  </cols>
  <sheetData>
    <row r="1" spans="1:9" ht="25.8">
      <c r="A1" s="7" t="s">
        <v>56</v>
      </c>
      <c r="B1" s="7"/>
      <c r="C1" s="7"/>
      <c r="D1" s="7"/>
      <c r="E1" s="7"/>
      <c r="F1" s="7"/>
      <c r="G1" s="7"/>
      <c r="H1" s="7"/>
      <c r="I1" s="7"/>
    </row>
    <row r="3" spans="1:9" s="5" customFormat="1">
      <c r="A3" s="5" t="s">
        <v>35</v>
      </c>
      <c r="D3" s="5" t="s">
        <v>37</v>
      </c>
      <c r="G3" s="5" t="s">
        <v>38</v>
      </c>
    </row>
    <row r="4" spans="1:9" s="6" customFormat="1" ht="21">
      <c r="A4" s="10">
        <f>KPI_Analysis!B2</f>
        <v>655400</v>
      </c>
      <c r="D4" s="8">
        <f>KPI_Analysis!B4</f>
        <v>30</v>
      </c>
      <c r="G4" s="9">
        <f>KPI_Analysis!B5</f>
        <v>75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3E5D-DA87-403B-8D9A-41C6B20B901F}">
  <dimension ref="A1:B7"/>
  <sheetViews>
    <sheetView workbookViewId="0">
      <selection activeCell="A9" sqref="A9"/>
    </sheetView>
  </sheetViews>
  <sheetFormatPr defaultRowHeight="14.4"/>
  <cols>
    <col min="1" max="1" width="42.109375" bestFit="1" customWidth="1"/>
    <col min="2" max="2" width="50.6640625" bestFit="1" customWidth="1"/>
  </cols>
  <sheetData>
    <row r="1" spans="1:2">
      <c r="A1" s="5" t="s">
        <v>45</v>
      </c>
    </row>
    <row r="3" spans="1:2" s="5" customFormat="1">
      <c r="A3" s="5" t="s">
        <v>46</v>
      </c>
      <c r="B3" s="5" t="s">
        <v>47</v>
      </c>
    </row>
    <row r="4" spans="1:2">
      <c r="A4" t="s">
        <v>48</v>
      </c>
      <c r="B4" t="s">
        <v>49</v>
      </c>
    </row>
    <row r="5" spans="1:2">
      <c r="A5" t="s">
        <v>50</v>
      </c>
      <c r="B5" t="s">
        <v>51</v>
      </c>
    </row>
    <row r="6" spans="1:2">
      <c r="A6" t="s">
        <v>52</v>
      </c>
      <c r="B6" t="s">
        <v>53</v>
      </c>
    </row>
    <row r="7" spans="1:2">
      <c r="A7" t="s">
        <v>54</v>
      </c>
      <c r="B7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025F-417A-4502-B477-5CA678D517EA}">
  <dimension ref="A3:B9"/>
  <sheetViews>
    <sheetView workbookViewId="0">
      <selection activeCell="N11" sqref="N11"/>
    </sheetView>
  </sheetViews>
  <sheetFormatPr defaultRowHeight="14.4"/>
  <cols>
    <col min="1" max="1" width="12.5546875" bestFit="1" customWidth="1"/>
    <col min="2" max="2" width="19.88671875" bestFit="1" customWidth="1"/>
  </cols>
  <sheetData>
    <row r="3" spans="1:2">
      <c r="A3" s="2" t="s">
        <v>42</v>
      </c>
      <c r="B3" t="s">
        <v>44</v>
      </c>
    </row>
    <row r="4" spans="1:2">
      <c r="A4" s="3" t="s">
        <v>13</v>
      </c>
      <c r="B4" s="4">
        <v>483500</v>
      </c>
    </row>
    <row r="5" spans="1:2">
      <c r="A5" s="3" t="s">
        <v>24</v>
      </c>
      <c r="B5" s="4">
        <v>98600</v>
      </c>
    </row>
    <row r="6" spans="1:2">
      <c r="A6" s="3" t="s">
        <v>30</v>
      </c>
      <c r="B6" s="4">
        <v>32200</v>
      </c>
    </row>
    <row r="7" spans="1:2">
      <c r="A7" s="3" t="s">
        <v>27</v>
      </c>
      <c r="B7" s="4">
        <v>28250</v>
      </c>
    </row>
    <row r="8" spans="1:2">
      <c r="A8" s="3" t="s">
        <v>18</v>
      </c>
      <c r="B8" s="4">
        <v>12850</v>
      </c>
    </row>
    <row r="9" spans="1:2">
      <c r="A9" s="3" t="s">
        <v>43</v>
      </c>
      <c r="B9" s="4">
        <v>655400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73FC-9F1E-4622-B2AE-D6AD4AB5C52F}">
  <dimension ref="A3:B9"/>
  <sheetViews>
    <sheetView workbookViewId="0">
      <selection activeCell="A4" sqref="A4"/>
    </sheetView>
  </sheetViews>
  <sheetFormatPr defaultRowHeight="14.4"/>
  <cols>
    <col min="1" max="1" width="12.5546875" bestFit="1" customWidth="1"/>
    <col min="2" max="2" width="19.88671875" bestFit="1" customWidth="1"/>
  </cols>
  <sheetData>
    <row r="3" spans="1:2">
      <c r="A3" s="2" t="s">
        <v>42</v>
      </c>
      <c r="B3" t="s">
        <v>44</v>
      </c>
    </row>
    <row r="4" spans="1:2">
      <c r="A4" s="3" t="s">
        <v>28</v>
      </c>
      <c r="B4" s="4">
        <v>182700</v>
      </c>
    </row>
    <row r="5" spans="1:2">
      <c r="A5" s="3" t="s">
        <v>22</v>
      </c>
      <c r="B5" s="4">
        <v>142300</v>
      </c>
    </row>
    <row r="6" spans="1:2">
      <c r="A6" s="3" t="s">
        <v>17</v>
      </c>
      <c r="B6" s="4">
        <v>132200</v>
      </c>
    </row>
    <row r="7" spans="1:2">
      <c r="A7" s="3" t="s">
        <v>11</v>
      </c>
      <c r="B7" s="4">
        <v>125550</v>
      </c>
    </row>
    <row r="8" spans="1:2">
      <c r="A8" s="3" t="s">
        <v>26</v>
      </c>
      <c r="B8" s="4">
        <v>72650</v>
      </c>
    </row>
    <row r="9" spans="1:2">
      <c r="A9" s="3" t="s">
        <v>43</v>
      </c>
      <c r="B9" s="4">
        <v>655400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AE46-9CA7-4A60-B4B9-1DF6F42E94F8}">
  <dimension ref="A1:B8"/>
  <sheetViews>
    <sheetView workbookViewId="0">
      <selection activeCell="E6" sqref="E6"/>
    </sheetView>
  </sheetViews>
  <sheetFormatPr defaultRowHeight="14.4"/>
  <cols>
    <col min="1" max="1" width="20.33203125" bestFit="1" customWidth="1"/>
    <col min="2" max="2" width="12" bestFit="1" customWidth="1"/>
  </cols>
  <sheetData>
    <row r="1" spans="1:2">
      <c r="A1" t="s">
        <v>33</v>
      </c>
      <c r="B1" t="s">
        <v>34</v>
      </c>
    </row>
    <row r="2" spans="1:2">
      <c r="A2" t="s">
        <v>35</v>
      </c>
      <c r="B2">
        <f>SUM(Sales_Data!L2:L31)</f>
        <v>655400</v>
      </c>
    </row>
    <row r="3" spans="1:2">
      <c r="A3" t="s">
        <v>36</v>
      </c>
      <c r="B3">
        <f>AVERAGE(Sales_Data!L2:L31)</f>
        <v>21846.666666666668</v>
      </c>
    </row>
    <row r="4" spans="1:2">
      <c r="A4" t="s">
        <v>37</v>
      </c>
      <c r="B4">
        <f>COUNTA(Sales_Data!A2:A31)</f>
        <v>30</v>
      </c>
    </row>
    <row r="5" spans="1:2">
      <c r="A5" t="s">
        <v>38</v>
      </c>
      <c r="B5">
        <f>SUM(Sales_Data!G2:G31)</f>
        <v>75</v>
      </c>
    </row>
    <row r="6" spans="1:2">
      <c r="A6" t="s">
        <v>39</v>
      </c>
      <c r="B6">
        <f>SUMIF(Sales_Data!J2:J31,"Online",Sales_Data!L2:L31)</f>
        <v>476650</v>
      </c>
    </row>
    <row r="7" spans="1:2">
      <c r="A7" t="s">
        <v>40</v>
      </c>
      <c r="B7">
        <f>SUMIF(Sales_Data!F2:F31,"Electronics",Sales_Data!L2:L31)</f>
        <v>582100</v>
      </c>
    </row>
    <row r="8" spans="1:2">
      <c r="A8" t="s">
        <v>41</v>
      </c>
      <c r="B8">
        <f>COUNTIF(Sales_Data!C2:C31,"Mumbai")</f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31B4-772F-46CD-A587-AD7CA0EA9EBD}">
  <dimension ref="A1:L31"/>
  <sheetViews>
    <sheetView workbookViewId="0">
      <selection activeCell="G14" sqref="G14"/>
    </sheetView>
  </sheetViews>
  <sheetFormatPr defaultRowHeight="14.4"/>
  <cols>
    <col min="1" max="1" width="10.44140625" customWidth="1"/>
    <col min="2" max="2" width="12.5546875" customWidth="1"/>
    <col min="5" max="5" width="9.5546875" customWidth="1"/>
    <col min="6" max="6" width="10.44140625" customWidth="1"/>
    <col min="7" max="7" width="11.88671875" customWidth="1"/>
    <col min="8" max="8" width="15.5546875" customWidth="1"/>
    <col min="9" max="9" width="14.21875" customWidth="1"/>
    <col min="10" max="10" width="15" customWidth="1"/>
    <col min="11" max="11" width="16.44140625" customWidth="1"/>
    <col min="12" max="12" width="15.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32</v>
      </c>
    </row>
    <row r="2" spans="1:12">
      <c r="A2">
        <v>3001</v>
      </c>
      <c r="B2" s="1">
        <v>46025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48000</v>
      </c>
      <c r="I2">
        <v>2000</v>
      </c>
      <c r="J2" t="s">
        <v>15</v>
      </c>
      <c r="K2" t="s">
        <v>16</v>
      </c>
      <c r="L2">
        <f>G2*H2-I2</f>
        <v>46000</v>
      </c>
    </row>
    <row r="3" spans="1:12">
      <c r="A3">
        <v>3002</v>
      </c>
      <c r="B3" s="1">
        <v>46026</v>
      </c>
      <c r="C3" t="s">
        <v>17</v>
      </c>
      <c r="D3" t="s">
        <v>12</v>
      </c>
      <c r="E3" t="s">
        <v>18</v>
      </c>
      <c r="F3" t="s">
        <v>19</v>
      </c>
      <c r="G3">
        <v>3</v>
      </c>
      <c r="H3">
        <v>600</v>
      </c>
      <c r="I3">
        <v>0</v>
      </c>
      <c r="J3" t="s">
        <v>20</v>
      </c>
      <c r="K3" t="s">
        <v>21</v>
      </c>
      <c r="L3">
        <f t="shared" ref="L3:L31" si="0">G3*H3-I3</f>
        <v>1800</v>
      </c>
    </row>
    <row r="4" spans="1:12">
      <c r="A4">
        <v>3003</v>
      </c>
      <c r="B4" s="1">
        <v>46027</v>
      </c>
      <c r="C4" t="s">
        <v>22</v>
      </c>
      <c r="D4" t="s">
        <v>23</v>
      </c>
      <c r="E4" t="s">
        <v>24</v>
      </c>
      <c r="F4" t="s">
        <v>14</v>
      </c>
      <c r="G4">
        <v>2</v>
      </c>
      <c r="H4">
        <v>11000</v>
      </c>
      <c r="I4">
        <v>1000</v>
      </c>
      <c r="J4" t="s">
        <v>15</v>
      </c>
      <c r="K4" t="s">
        <v>25</v>
      </c>
      <c r="L4">
        <f t="shared" si="0"/>
        <v>21000</v>
      </c>
    </row>
    <row r="5" spans="1:12">
      <c r="A5">
        <v>3004</v>
      </c>
      <c r="B5" s="1">
        <v>46028</v>
      </c>
      <c r="C5" t="s">
        <v>26</v>
      </c>
      <c r="D5" t="s">
        <v>12</v>
      </c>
      <c r="E5" t="s">
        <v>27</v>
      </c>
      <c r="F5" t="s">
        <v>19</v>
      </c>
      <c r="G5">
        <v>2</v>
      </c>
      <c r="H5">
        <v>1600</v>
      </c>
      <c r="I5">
        <v>200</v>
      </c>
      <c r="J5" t="s">
        <v>20</v>
      </c>
      <c r="K5" t="s">
        <v>16</v>
      </c>
      <c r="L5">
        <f t="shared" si="0"/>
        <v>3000</v>
      </c>
    </row>
    <row r="6" spans="1:12">
      <c r="A6">
        <v>3005</v>
      </c>
      <c r="B6" s="1">
        <v>46030</v>
      </c>
      <c r="C6" t="s">
        <v>28</v>
      </c>
      <c r="D6" t="s">
        <v>29</v>
      </c>
      <c r="E6" t="s">
        <v>30</v>
      </c>
      <c r="F6" t="s">
        <v>19</v>
      </c>
      <c r="G6">
        <v>4</v>
      </c>
      <c r="H6">
        <v>2000</v>
      </c>
      <c r="I6">
        <v>500</v>
      </c>
      <c r="J6" t="s">
        <v>15</v>
      </c>
      <c r="K6" t="s">
        <v>25</v>
      </c>
      <c r="L6">
        <f t="shared" si="0"/>
        <v>7500</v>
      </c>
    </row>
    <row r="7" spans="1:12">
      <c r="A7">
        <v>3006</v>
      </c>
      <c r="B7" s="1">
        <v>46031</v>
      </c>
      <c r="C7" t="s">
        <v>11</v>
      </c>
      <c r="D7" t="s">
        <v>12</v>
      </c>
      <c r="E7" t="s">
        <v>24</v>
      </c>
      <c r="F7" t="s">
        <v>14</v>
      </c>
      <c r="G7">
        <v>1</v>
      </c>
      <c r="H7">
        <v>12000</v>
      </c>
      <c r="I7">
        <v>500</v>
      </c>
      <c r="J7" t="s">
        <v>20</v>
      </c>
      <c r="K7" t="s">
        <v>16</v>
      </c>
      <c r="L7">
        <f t="shared" si="0"/>
        <v>11500</v>
      </c>
    </row>
    <row r="8" spans="1:12">
      <c r="A8">
        <v>3007</v>
      </c>
      <c r="B8" s="1">
        <v>46032</v>
      </c>
      <c r="C8" t="s">
        <v>22</v>
      </c>
      <c r="D8" t="s">
        <v>23</v>
      </c>
      <c r="E8" t="s">
        <v>13</v>
      </c>
      <c r="F8" t="s">
        <v>14</v>
      </c>
      <c r="G8">
        <v>2</v>
      </c>
      <c r="H8">
        <v>50000</v>
      </c>
      <c r="I8">
        <v>3000</v>
      </c>
      <c r="J8" t="s">
        <v>15</v>
      </c>
      <c r="K8" t="s">
        <v>31</v>
      </c>
      <c r="L8">
        <f t="shared" si="0"/>
        <v>97000</v>
      </c>
    </row>
    <row r="9" spans="1:12">
      <c r="A9">
        <v>3008</v>
      </c>
      <c r="B9" s="1">
        <v>46033</v>
      </c>
      <c r="C9" t="s">
        <v>17</v>
      </c>
      <c r="D9" t="s">
        <v>12</v>
      </c>
      <c r="E9" t="s">
        <v>27</v>
      </c>
      <c r="F9" t="s">
        <v>19</v>
      </c>
      <c r="G9">
        <v>3</v>
      </c>
      <c r="H9">
        <v>1500</v>
      </c>
      <c r="I9">
        <v>0</v>
      </c>
      <c r="J9" t="s">
        <v>15</v>
      </c>
      <c r="K9" t="s">
        <v>16</v>
      </c>
      <c r="L9">
        <f t="shared" si="0"/>
        <v>4500</v>
      </c>
    </row>
    <row r="10" spans="1:12">
      <c r="A10">
        <v>3009</v>
      </c>
      <c r="B10" s="1">
        <v>46034</v>
      </c>
      <c r="C10" t="s">
        <v>28</v>
      </c>
      <c r="D10" t="s">
        <v>29</v>
      </c>
      <c r="E10" t="s">
        <v>13</v>
      </c>
      <c r="F10" t="s">
        <v>14</v>
      </c>
      <c r="G10">
        <v>1</v>
      </c>
      <c r="H10">
        <v>52000</v>
      </c>
      <c r="I10">
        <v>2500</v>
      </c>
      <c r="J10" t="s">
        <v>20</v>
      </c>
      <c r="K10" t="s">
        <v>25</v>
      </c>
      <c r="L10">
        <f t="shared" si="0"/>
        <v>49500</v>
      </c>
    </row>
    <row r="11" spans="1:12">
      <c r="A11">
        <v>3010</v>
      </c>
      <c r="B11" s="1">
        <v>46036</v>
      </c>
      <c r="C11" t="s">
        <v>26</v>
      </c>
      <c r="D11" t="s">
        <v>12</v>
      </c>
      <c r="E11" t="s">
        <v>18</v>
      </c>
      <c r="F11" t="s">
        <v>19</v>
      </c>
      <c r="G11">
        <v>5</v>
      </c>
      <c r="H11">
        <v>550</v>
      </c>
      <c r="I11">
        <v>100</v>
      </c>
      <c r="J11" t="s">
        <v>15</v>
      </c>
      <c r="K11" t="s">
        <v>16</v>
      </c>
      <c r="L11">
        <f t="shared" si="0"/>
        <v>2650</v>
      </c>
    </row>
    <row r="12" spans="1:12">
      <c r="A12">
        <v>3011</v>
      </c>
      <c r="B12" s="1">
        <v>46037</v>
      </c>
      <c r="C12" t="s">
        <v>11</v>
      </c>
      <c r="D12" t="s">
        <v>12</v>
      </c>
      <c r="E12" t="s">
        <v>30</v>
      </c>
      <c r="F12" t="s">
        <v>19</v>
      </c>
      <c r="G12">
        <v>2</v>
      </c>
      <c r="H12">
        <v>2500</v>
      </c>
      <c r="I12">
        <v>300</v>
      </c>
      <c r="J12" t="s">
        <v>15</v>
      </c>
      <c r="K12" t="s">
        <v>25</v>
      </c>
      <c r="L12">
        <f t="shared" si="0"/>
        <v>4700</v>
      </c>
    </row>
    <row r="13" spans="1:12">
      <c r="A13">
        <v>3012</v>
      </c>
      <c r="B13" s="1">
        <v>46038</v>
      </c>
      <c r="C13" t="s">
        <v>22</v>
      </c>
      <c r="D13" t="s">
        <v>23</v>
      </c>
      <c r="E13" t="s">
        <v>24</v>
      </c>
      <c r="F13" t="s">
        <v>14</v>
      </c>
      <c r="G13">
        <v>1</v>
      </c>
      <c r="H13">
        <v>11500</v>
      </c>
      <c r="I13">
        <v>0</v>
      </c>
      <c r="J13" t="s">
        <v>20</v>
      </c>
      <c r="K13" t="s">
        <v>21</v>
      </c>
      <c r="L13">
        <f t="shared" si="0"/>
        <v>11500</v>
      </c>
    </row>
    <row r="14" spans="1:12">
      <c r="A14">
        <v>3013</v>
      </c>
      <c r="B14" s="1">
        <v>46040</v>
      </c>
      <c r="C14" t="s">
        <v>17</v>
      </c>
      <c r="D14" t="s">
        <v>12</v>
      </c>
      <c r="E14" t="s">
        <v>13</v>
      </c>
      <c r="F14" t="s">
        <v>14</v>
      </c>
      <c r="G14">
        <v>1</v>
      </c>
      <c r="H14">
        <v>49000</v>
      </c>
      <c r="I14">
        <v>1500</v>
      </c>
      <c r="J14" t="s">
        <v>20</v>
      </c>
      <c r="K14" t="s">
        <v>31</v>
      </c>
      <c r="L14">
        <f t="shared" si="0"/>
        <v>47500</v>
      </c>
    </row>
    <row r="15" spans="1:12">
      <c r="A15">
        <v>3014</v>
      </c>
      <c r="B15" s="1">
        <v>46041</v>
      </c>
      <c r="C15" t="s">
        <v>28</v>
      </c>
      <c r="D15" t="s">
        <v>29</v>
      </c>
      <c r="E15" t="s">
        <v>27</v>
      </c>
      <c r="F15" t="s">
        <v>19</v>
      </c>
      <c r="G15">
        <v>4</v>
      </c>
      <c r="H15">
        <v>1700</v>
      </c>
      <c r="I15">
        <v>200</v>
      </c>
      <c r="J15" t="s">
        <v>15</v>
      </c>
      <c r="K15" t="s">
        <v>16</v>
      </c>
      <c r="L15">
        <f t="shared" si="0"/>
        <v>6600</v>
      </c>
    </row>
    <row r="16" spans="1:12">
      <c r="A16">
        <v>3015</v>
      </c>
      <c r="B16" s="1">
        <v>46042</v>
      </c>
      <c r="C16" t="s">
        <v>11</v>
      </c>
      <c r="D16" t="s">
        <v>12</v>
      </c>
      <c r="E16" t="s">
        <v>18</v>
      </c>
      <c r="F16" t="s">
        <v>19</v>
      </c>
      <c r="G16">
        <v>6</v>
      </c>
      <c r="H16">
        <v>500</v>
      </c>
      <c r="I16">
        <v>0</v>
      </c>
      <c r="J16" t="s">
        <v>20</v>
      </c>
      <c r="K16" t="s">
        <v>21</v>
      </c>
      <c r="L16">
        <f t="shared" si="0"/>
        <v>3000</v>
      </c>
    </row>
    <row r="17" spans="1:12">
      <c r="A17">
        <v>3016</v>
      </c>
      <c r="B17" s="1">
        <v>46044</v>
      </c>
      <c r="C17" t="s">
        <v>26</v>
      </c>
      <c r="D17" t="s">
        <v>12</v>
      </c>
      <c r="E17" t="s">
        <v>13</v>
      </c>
      <c r="F17" t="s">
        <v>14</v>
      </c>
      <c r="G17">
        <v>1</v>
      </c>
      <c r="H17">
        <v>51000</v>
      </c>
      <c r="I17">
        <v>2000</v>
      </c>
      <c r="J17" t="s">
        <v>15</v>
      </c>
      <c r="K17" t="s">
        <v>25</v>
      </c>
      <c r="L17">
        <f t="shared" si="0"/>
        <v>49000</v>
      </c>
    </row>
    <row r="18" spans="1:12">
      <c r="A18">
        <v>3017</v>
      </c>
      <c r="B18" s="1">
        <v>46045</v>
      </c>
      <c r="C18" t="s">
        <v>22</v>
      </c>
      <c r="D18" t="s">
        <v>23</v>
      </c>
      <c r="E18" t="s">
        <v>30</v>
      </c>
      <c r="F18" t="s">
        <v>19</v>
      </c>
      <c r="G18">
        <v>3</v>
      </c>
      <c r="H18">
        <v>2200</v>
      </c>
      <c r="I18">
        <v>200</v>
      </c>
      <c r="J18" t="s">
        <v>20</v>
      </c>
      <c r="K18" t="s">
        <v>16</v>
      </c>
      <c r="L18">
        <f t="shared" si="0"/>
        <v>6400</v>
      </c>
    </row>
    <row r="19" spans="1:12">
      <c r="A19">
        <v>3018</v>
      </c>
      <c r="B19" s="1">
        <v>46046</v>
      </c>
      <c r="C19" t="s">
        <v>17</v>
      </c>
      <c r="D19" t="s">
        <v>12</v>
      </c>
      <c r="E19" t="s">
        <v>24</v>
      </c>
      <c r="F19" t="s">
        <v>14</v>
      </c>
      <c r="G19">
        <v>2</v>
      </c>
      <c r="H19">
        <v>10800</v>
      </c>
      <c r="I19">
        <v>600</v>
      </c>
      <c r="J19" t="s">
        <v>15</v>
      </c>
      <c r="K19" t="s">
        <v>25</v>
      </c>
      <c r="L19">
        <f t="shared" si="0"/>
        <v>21000</v>
      </c>
    </row>
    <row r="20" spans="1:12">
      <c r="A20">
        <v>3019</v>
      </c>
      <c r="B20" s="1">
        <v>46047</v>
      </c>
      <c r="C20" t="s">
        <v>28</v>
      </c>
      <c r="D20" t="s">
        <v>29</v>
      </c>
      <c r="E20" t="s">
        <v>18</v>
      </c>
      <c r="F20" t="s">
        <v>19</v>
      </c>
      <c r="G20">
        <v>4</v>
      </c>
      <c r="H20">
        <v>650</v>
      </c>
      <c r="I20">
        <v>100</v>
      </c>
      <c r="J20" t="s">
        <v>20</v>
      </c>
      <c r="K20" t="s">
        <v>16</v>
      </c>
      <c r="L20">
        <f t="shared" si="0"/>
        <v>2500</v>
      </c>
    </row>
    <row r="21" spans="1:12">
      <c r="A21">
        <v>3020</v>
      </c>
      <c r="B21" s="1">
        <v>46049</v>
      </c>
      <c r="C21" t="s">
        <v>11</v>
      </c>
      <c r="D21" t="s">
        <v>12</v>
      </c>
      <c r="E21" t="s">
        <v>13</v>
      </c>
      <c r="F21" t="s">
        <v>14</v>
      </c>
      <c r="G21">
        <v>1</v>
      </c>
      <c r="H21">
        <v>50000</v>
      </c>
      <c r="I21">
        <v>1000</v>
      </c>
      <c r="J21" t="s">
        <v>15</v>
      </c>
      <c r="K21" t="s">
        <v>31</v>
      </c>
      <c r="L21">
        <f t="shared" si="0"/>
        <v>49000</v>
      </c>
    </row>
    <row r="22" spans="1:12">
      <c r="A22">
        <v>3021</v>
      </c>
      <c r="B22" s="1">
        <v>46054</v>
      </c>
      <c r="C22" t="s">
        <v>22</v>
      </c>
      <c r="D22" t="s">
        <v>23</v>
      </c>
      <c r="E22" t="s">
        <v>27</v>
      </c>
      <c r="F22" t="s">
        <v>19</v>
      </c>
      <c r="G22">
        <v>2</v>
      </c>
      <c r="H22">
        <v>1800</v>
      </c>
      <c r="I22">
        <v>100</v>
      </c>
      <c r="J22" t="s">
        <v>15</v>
      </c>
      <c r="K22" t="s">
        <v>16</v>
      </c>
      <c r="L22">
        <f t="shared" si="0"/>
        <v>3500</v>
      </c>
    </row>
    <row r="23" spans="1:12">
      <c r="A23">
        <v>3022</v>
      </c>
      <c r="B23" s="1">
        <v>46056</v>
      </c>
      <c r="C23" t="s">
        <v>17</v>
      </c>
      <c r="D23" t="s">
        <v>12</v>
      </c>
      <c r="E23" t="s">
        <v>30</v>
      </c>
      <c r="F23" t="s">
        <v>19</v>
      </c>
      <c r="G23">
        <v>3</v>
      </c>
      <c r="H23">
        <v>2400</v>
      </c>
      <c r="I23">
        <v>300</v>
      </c>
      <c r="J23" t="s">
        <v>20</v>
      </c>
      <c r="K23" t="s">
        <v>25</v>
      </c>
      <c r="L23">
        <f t="shared" si="0"/>
        <v>6900</v>
      </c>
    </row>
    <row r="24" spans="1:12">
      <c r="A24">
        <v>3023</v>
      </c>
      <c r="B24" s="1">
        <v>46058</v>
      </c>
      <c r="C24" t="s">
        <v>26</v>
      </c>
      <c r="D24" t="s">
        <v>12</v>
      </c>
      <c r="E24" t="s">
        <v>24</v>
      </c>
      <c r="F24" t="s">
        <v>14</v>
      </c>
      <c r="G24">
        <v>1</v>
      </c>
      <c r="H24">
        <v>12000</v>
      </c>
      <c r="I24">
        <v>0</v>
      </c>
      <c r="J24" t="s">
        <v>15</v>
      </c>
      <c r="K24" t="s">
        <v>16</v>
      </c>
      <c r="L24">
        <f t="shared" si="0"/>
        <v>12000</v>
      </c>
    </row>
    <row r="25" spans="1:12">
      <c r="A25">
        <v>3024</v>
      </c>
      <c r="B25" s="1">
        <v>46060</v>
      </c>
      <c r="C25" t="s">
        <v>28</v>
      </c>
      <c r="D25" t="s">
        <v>29</v>
      </c>
      <c r="E25" t="s">
        <v>13</v>
      </c>
      <c r="F25" t="s">
        <v>14</v>
      </c>
      <c r="G25">
        <v>2</v>
      </c>
      <c r="H25">
        <v>48500</v>
      </c>
      <c r="I25">
        <v>2000</v>
      </c>
      <c r="J25" t="s">
        <v>15</v>
      </c>
      <c r="K25" t="s">
        <v>25</v>
      </c>
      <c r="L25">
        <f t="shared" si="0"/>
        <v>95000</v>
      </c>
    </row>
    <row r="26" spans="1:12">
      <c r="A26">
        <v>3025</v>
      </c>
      <c r="B26" s="1">
        <v>46062</v>
      </c>
      <c r="C26" t="s">
        <v>11</v>
      </c>
      <c r="D26" t="s">
        <v>12</v>
      </c>
      <c r="E26" t="s">
        <v>27</v>
      </c>
      <c r="F26" t="s">
        <v>19</v>
      </c>
      <c r="G26">
        <v>3</v>
      </c>
      <c r="H26">
        <v>1600</v>
      </c>
      <c r="I26">
        <v>150</v>
      </c>
      <c r="J26" t="s">
        <v>20</v>
      </c>
      <c r="K26" t="s">
        <v>16</v>
      </c>
      <c r="L26">
        <f t="shared" si="0"/>
        <v>4650</v>
      </c>
    </row>
    <row r="27" spans="1:12">
      <c r="A27">
        <v>3026</v>
      </c>
      <c r="B27" s="1">
        <v>46064</v>
      </c>
      <c r="C27" t="s">
        <v>22</v>
      </c>
      <c r="D27" t="s">
        <v>23</v>
      </c>
      <c r="E27" t="s">
        <v>18</v>
      </c>
      <c r="F27" t="s">
        <v>19</v>
      </c>
      <c r="G27">
        <v>5</v>
      </c>
      <c r="H27">
        <v>600</v>
      </c>
      <c r="I27">
        <v>100</v>
      </c>
      <c r="J27" t="s">
        <v>20</v>
      </c>
      <c r="K27" t="s">
        <v>21</v>
      </c>
      <c r="L27">
        <f t="shared" si="0"/>
        <v>2900</v>
      </c>
    </row>
    <row r="28" spans="1:12">
      <c r="A28">
        <v>3027</v>
      </c>
      <c r="B28" s="1">
        <v>46066</v>
      </c>
      <c r="C28" t="s">
        <v>17</v>
      </c>
      <c r="D28" t="s">
        <v>12</v>
      </c>
      <c r="E28" t="s">
        <v>13</v>
      </c>
      <c r="F28" t="s">
        <v>14</v>
      </c>
      <c r="G28">
        <v>1</v>
      </c>
      <c r="H28">
        <v>53000</v>
      </c>
      <c r="I28">
        <v>2500</v>
      </c>
      <c r="J28" t="s">
        <v>15</v>
      </c>
      <c r="K28" t="s">
        <v>31</v>
      </c>
      <c r="L28">
        <f t="shared" si="0"/>
        <v>50500</v>
      </c>
    </row>
    <row r="29" spans="1:12">
      <c r="A29">
        <v>3028</v>
      </c>
      <c r="B29" s="1">
        <v>46068</v>
      </c>
      <c r="C29" t="s">
        <v>28</v>
      </c>
      <c r="D29" t="s">
        <v>29</v>
      </c>
      <c r="E29" t="s">
        <v>24</v>
      </c>
      <c r="F29" t="s">
        <v>14</v>
      </c>
      <c r="G29">
        <v>2</v>
      </c>
      <c r="H29">
        <v>11200</v>
      </c>
      <c r="I29">
        <v>800</v>
      </c>
      <c r="J29" t="s">
        <v>20</v>
      </c>
      <c r="K29" t="s">
        <v>25</v>
      </c>
      <c r="L29">
        <f t="shared" si="0"/>
        <v>21600</v>
      </c>
    </row>
    <row r="30" spans="1:12">
      <c r="A30">
        <v>3029</v>
      </c>
      <c r="B30" s="1">
        <v>46070</v>
      </c>
      <c r="C30" t="s">
        <v>11</v>
      </c>
      <c r="D30" t="s">
        <v>12</v>
      </c>
      <c r="E30" t="s">
        <v>30</v>
      </c>
      <c r="F30" t="s">
        <v>19</v>
      </c>
      <c r="G30">
        <v>3</v>
      </c>
      <c r="H30">
        <v>2300</v>
      </c>
      <c r="I30">
        <v>200</v>
      </c>
      <c r="J30" t="s">
        <v>15</v>
      </c>
      <c r="K30" t="s">
        <v>16</v>
      </c>
      <c r="L30">
        <f t="shared" si="0"/>
        <v>6700</v>
      </c>
    </row>
    <row r="31" spans="1:12">
      <c r="A31">
        <v>3030</v>
      </c>
      <c r="B31" s="1">
        <v>46073</v>
      </c>
      <c r="C31" t="s">
        <v>26</v>
      </c>
      <c r="D31" t="s">
        <v>12</v>
      </c>
      <c r="E31" t="s">
        <v>27</v>
      </c>
      <c r="F31" t="s">
        <v>19</v>
      </c>
      <c r="G31">
        <v>4</v>
      </c>
      <c r="H31">
        <v>1550</v>
      </c>
      <c r="I31">
        <v>200</v>
      </c>
      <c r="J31" t="s">
        <v>20</v>
      </c>
      <c r="K31" t="s">
        <v>21</v>
      </c>
      <c r="L31">
        <f t="shared" si="0"/>
        <v>6000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Business_Insights</vt:lpstr>
      <vt:lpstr>Product_Analysis</vt:lpstr>
      <vt:lpstr>City_Analysis</vt:lpstr>
      <vt:lpstr>KPI_Analysis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Desai</dc:creator>
  <cp:lastModifiedBy>Nimish Desai</cp:lastModifiedBy>
  <dcterms:created xsi:type="dcterms:W3CDTF">2026-10-29T15:09:44Z</dcterms:created>
  <dcterms:modified xsi:type="dcterms:W3CDTF">2026-10-29T17:33:45Z</dcterms:modified>
</cp:coreProperties>
</file>